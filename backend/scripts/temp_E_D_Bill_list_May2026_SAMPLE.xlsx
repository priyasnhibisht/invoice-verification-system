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FFICE" sheetId="1" state="visible" r:id="rId3"/>
    <sheet name="FTTH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<sst xmlns="http://schemas.openxmlformats.org/spreadsheetml/2006/main" count="93" uniqueCount="51">
  <si>
    <t xml:space="preserve">(BSNL GST Registration Number : 05AABCB5576G3ZP PAN Number:AABCB5576G HSN/SAC Code: 9984 CIN:U74899DL2000GOI107739)</t>
  </si>
  <si>
    <t xml:space="preserve">A</t>
  </si>
  <si>
    <t xml:space="preserve">TELEPHONE_NUMBER</t>
  </si>
  <si>
    <t xml:space="preserve">ACCOUNT_NUMBER</t>
  </si>
  <si>
    <t xml:space="preserve">INVOICE_NUMBER</t>
  </si>
  <si>
    <t xml:space="preserve">FROM_DATE</t>
  </si>
  <si>
    <t xml:space="preserve">TO_DATE</t>
  </si>
  <si>
    <t xml:space="preserve">FIXED_RENT_CHARGES</t>
  </si>
  <si>
    <t xml:space="preserve">CALL_USAGE_CHARGES</t>
  </si>
  <si>
    <t xml:space="preserve">ADJUSTMENTS</t>
  </si>
  <si>
    <t xml:space="preserve">CGST</t>
  </si>
  <si>
    <t xml:space="preserve">SGST</t>
  </si>
  <si>
    <t xml:space="preserve">20% Disc</t>
  </si>
  <si>
    <t xml:space="preserve">TOTAL_PAYABLE</t>
  </si>
  <si>
    <t xml:space="preserve">0135-9910001</t>
  </si>
  <si>
    <t xml:space="preserve">NDCUT2600000001</t>
  </si>
  <si>
    <t xml:space="preserve">01.05.2026</t>
  </si>
  <si>
    <t xml:space="preserve">31.05.2026</t>
  </si>
  <si>
    <t xml:space="preserve">0135-9910002</t>
  </si>
  <si>
    <t xml:space="preserve">NDCUT2600000002</t>
  </si>
  <si>
    <t xml:space="preserve">0135-9910003</t>
  </si>
  <si>
    <t xml:space="preserve">NDCUT2600000003</t>
  </si>
  <si>
    <t xml:space="preserve">0135-9910004</t>
  </si>
  <si>
    <t xml:space="preserve">NDCUT2600000004</t>
  </si>
  <si>
    <t xml:space="preserve">Total</t>
  </si>
  <si>
    <t xml:space="preserve">Pay Rs.4816/- including GST Rs.</t>
  </si>
  <si>
    <t xml:space="preserve">Accounts Officer(CFA)</t>
  </si>
  <si>
    <t xml:space="preserve">O/o PGMTD,Dehradun</t>
  </si>
  <si>
    <t xml:space="preserve">B</t>
  </si>
  <si>
    <t xml:space="preserve">Remarks</t>
  </si>
  <si>
    <t xml:space="preserve">0135-9920001</t>
  </si>
  <si>
    <t xml:space="preserve">NDCUT2600000011</t>
  </si>
  <si>
    <t xml:space="preserve">0135-9920002</t>
  </si>
  <si>
    <t xml:space="preserve">NDCUT2600000012</t>
  </si>
  <si>
    <t xml:space="preserve">0135-9920003</t>
  </si>
  <si>
    <t xml:space="preserve">NDCUT2600000013</t>
  </si>
  <si>
    <t xml:space="preserve">0135-9920004</t>
  </si>
  <si>
    <t xml:space="preserve">NDCUT2600000014</t>
  </si>
  <si>
    <t xml:space="preserve">0135-9920005</t>
  </si>
  <si>
    <t xml:space="preserve">NDCUT2600000015</t>
  </si>
  <si>
    <t xml:space="preserve">0135-9920006</t>
  </si>
  <si>
    <t xml:space="preserve">NDCUT2600000016</t>
  </si>
  <si>
    <t xml:space="preserve">0135-9920007</t>
  </si>
  <si>
    <t xml:space="preserve">NDCUT2600000017</t>
  </si>
  <si>
    <t xml:space="preserve">0135-9920008</t>
  </si>
  <si>
    <t xml:space="preserve">NDCUT2600000018</t>
  </si>
  <si>
    <t xml:space="preserve">0135-9920009</t>
  </si>
  <si>
    <t xml:space="preserve">NDCUT2600000019</t>
  </si>
  <si>
    <t xml:space="preserve">0135-9920010</t>
  </si>
  <si>
    <t xml:space="preserve">NDCUT2600000020</t>
  </si>
  <si>
    <t xml:space="preserve">Pay Rs.7780/- including GST 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</si>
</sst>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0000000000"/>
    <numFmt numFmtId="166" formatCode="m/d/yyyy"/>
    <numFmt numFmtId="167" formatCode="0"/>
    <numFmt numFmtId="168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Arial"/>
      <family val="2"/>
      <charset val="1"/>
    </font>
    <font>
      <b val="true"/>
      <sz val="2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8" tint="0.5999"/>
        <bgColor rgb="FF99CC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800080"/>
      </font>
      <fill>
        <patternFill>
          <bgColor rgb="FFFF99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790560</xdr:colOff>
      <xdr:row>0</xdr:row>
      <xdr:rowOff>0</xdr:rowOff>
    </xdr:from>
    <xdr:to>
      <xdr:col>10</xdr:col>
      <xdr:colOff>56520</xdr:colOff>
      <xdr:row>4</xdr:row>
      <xdr:rowOff>123120</xdr:rowOff>
    </xdr:to>
    <xdr:pic>
      <xdr:nvPicPr>
        <xdr:cNvPr id="0" name="Picture 1" descr="logohead"/>
        <xdr:cNvPicPr/>
      </xdr:nvPicPr>
      <xdr:blipFill>
        <a:blip r:embed="rId1"/>
        <a:stretch/>
      </xdr:blipFill>
      <xdr:spPr>
        <a:xfrm>
          <a:off x="2297880" y="0"/>
          <a:ext cx="6278400" cy="885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114480</xdr:colOff>
      <xdr:row>0</xdr:row>
      <xdr:rowOff>76320</xdr:rowOff>
    </xdr:from>
    <xdr:to>
      <xdr:col>9</xdr:col>
      <xdr:colOff>611280</xdr:colOff>
      <xdr:row>4</xdr:row>
      <xdr:rowOff>190080</xdr:rowOff>
    </xdr:to>
    <xdr:pic>
      <xdr:nvPicPr>
        <xdr:cNvPr id="1" name="Picture 1" descr="logohead"/>
        <xdr:cNvPicPr/>
      </xdr:nvPicPr>
      <xdr:blipFill>
        <a:blip r:embed="rId1"/>
        <a:stretch/>
      </xdr:blipFill>
      <xdr:spPr>
        <a:xfrm>
          <a:off x="2498400" y="76320"/>
          <a:ext cx="4989240" cy="8758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7" activeCellId="0" sqref="M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2.71"/>
    <col collapsed="false" customWidth="true" hidden="false" outlineLevel="0" max="3" min="3" style="1" width="13.71"/>
    <col collapsed="false" customWidth="true" hidden="false" outlineLevel="0" max="4" min="4" style="1" width="17.42"/>
    <col collapsed="false" customWidth="true" hidden="false" outlineLevel="0" max="5" min="5" style="1" width="16.43"/>
    <col collapsed="false" customWidth="true" hidden="false" outlineLevel="0" max="6" min="6" style="1" width="10.14"/>
    <col collapsed="false" customWidth="true" hidden="false" outlineLevel="0" max="7" min="7" style="1" width="10.71"/>
    <col collapsed="false" customWidth="true" hidden="false" outlineLevel="0" max="8" min="8" style="1" width="13.71"/>
  </cols>
  <sheetData>
    <row r="1" customFormat="false" ht="15" hidden="false" customHeight="true" outlineLevel="0" collapsed="false">
      <c r="B1" s="2"/>
      <c r="N1" s="3"/>
    </row>
    <row r="2" customFormat="false" ht="15" hidden="false" customHeight="true" outlineLevel="0" collapsed="false">
      <c r="B2" s="2"/>
      <c r="C2" s="4"/>
      <c r="N2" s="3"/>
    </row>
    <row r="3" customFormat="false" ht="15" hidden="false" customHeight="true" outlineLevel="0" collapsed="false">
      <c r="B3" s="2"/>
      <c r="C3" s="4"/>
      <c r="N3" s="3"/>
    </row>
    <row r="4" customFormat="false" ht="15" hidden="false" customHeight="true" outlineLevel="0" collapsed="false">
      <c r="B4" s="2"/>
      <c r="C4" s="4"/>
      <c r="N4" s="3"/>
    </row>
    <row r="5" customFormat="false" ht="15.75" hidden="false" customHeight="true" outlineLevel="0" collapsed="false">
      <c r="B5" s="2"/>
      <c r="C5" s="4"/>
      <c r="N5" s="3"/>
    </row>
    <row r="6" customFormat="false" ht="30.75" hidden="false" customHeight="true" outlineLevel="0" collapsed="false">
      <c r="B6" s="2"/>
      <c r="C6" s="5" t="s">
        <v>0</v>
      </c>
      <c r="D6" s="5"/>
      <c r="E6" s="5"/>
      <c r="F6" s="5"/>
      <c r="G6" s="5"/>
      <c r="H6" s="5"/>
      <c r="I6" s="5"/>
      <c r="J6" s="5"/>
      <c r="K6" s="5"/>
      <c r="N6" s="3"/>
    </row>
    <row r="7" customFormat="false" ht="15.75" hidden="false" customHeight="true" outlineLevel="0" collapsed="false"/>
    <row r="8" customFormat="false" ht="45" hidden="false" customHeight="true" outlineLevel="0" collapsed="false">
      <c r="A8" s="6" t="s">
        <v>1</v>
      </c>
      <c r="B8" s="7" t="s">
        <v>2</v>
      </c>
      <c r="C8" s="8" t="s">
        <v>3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8" t="s">
        <v>11</v>
      </c>
      <c r="L8" s="8" t="s">
        <v>12</v>
      </c>
      <c r="M8" s="8" t="s">
        <v>13</v>
      </c>
    </row>
    <row r="9" customFormat="false" ht="15" hidden="false" customHeight="true" outlineLevel="0" collapsed="false">
      <c r="A9" s="6"/>
      <c r="B9" s="9" t="s">
        <v>14</v>
      </c>
      <c r="C9" s="10" t="n">
        <v>2000100001</v>
      </c>
      <c r="D9" s="10" t="s">
        <v>15</v>
      </c>
      <c r="E9" s="11" t="s">
        <v>16</v>
      </c>
      <c r="F9" s="11" t="s">
        <v>17</v>
      </c>
      <c r="G9" s="10" t="n">
        <v>329</v>
      </c>
      <c r="H9" s="10" t="n">
        <v>0</v>
      </c>
      <c r="I9" s="10" t="n">
        <v>0</v>
      </c>
      <c r="J9" s="10" t="n">
        <v>29.61</v>
      </c>
      <c r="K9" s="10" t="n">
        <v>29.61</v>
      </c>
      <c r="L9" s="10" t="n">
        <v>-65.8</v>
      </c>
      <c r="M9" s="12" t="n">
        <v>322</v>
      </c>
      <c r="N9" s="10"/>
    </row>
    <row r="10" customFormat="false" ht="15" hidden="false" customHeight="true" outlineLevel="0" collapsed="false">
      <c r="A10" s="6"/>
      <c r="B10" s="9" t="s">
        <v>18</v>
      </c>
      <c r="C10" s="10" t="n">
        <v>2000100002</v>
      </c>
      <c r="D10" s="10" t="s">
        <v>19</v>
      </c>
      <c r="E10" s="11" t="s">
        <v>16</v>
      </c>
      <c r="F10" s="11" t="s">
        <v>17</v>
      </c>
      <c r="G10" s="10" t="n">
        <v>1389</v>
      </c>
      <c r="H10" s="10" t="n">
        <v>0</v>
      </c>
      <c r="I10" s="10" t="n">
        <v>15</v>
      </c>
      <c r="J10" s="10" t="n">
        <v>125.01</v>
      </c>
      <c r="K10" s="10" t="n">
        <v>125.01</v>
      </c>
      <c r="L10" s="10" t="n">
        <v>0</v>
      </c>
      <c r="M10" s="12" t="n">
        <v>1654</v>
      </c>
      <c r="N10" s="9"/>
    </row>
    <row r="11" customFormat="false" ht="15" hidden="false" customHeight="true" outlineLevel="0" collapsed="false">
      <c r="A11" s="6"/>
      <c r="B11" s="9" t="s">
        <v>20</v>
      </c>
      <c r="C11" s="10" t="n">
        <v>2000100003</v>
      </c>
      <c r="D11" s="10" t="s">
        <v>21</v>
      </c>
      <c r="E11" s="11" t="s">
        <v>16</v>
      </c>
      <c r="F11" s="11" t="s">
        <v>17</v>
      </c>
      <c r="G11" s="10" t="n">
        <v>1449</v>
      </c>
      <c r="H11" s="10" t="n">
        <v>0</v>
      </c>
      <c r="I11" s="10" t="n">
        <v>0</v>
      </c>
      <c r="J11" s="10" t="n">
        <v>130.41</v>
      </c>
      <c r="K11" s="10" t="n">
        <v>130.41</v>
      </c>
      <c r="L11" s="10" t="n">
        <v>-289.8</v>
      </c>
      <c r="M11" s="12" t="n">
        <v>1420</v>
      </c>
      <c r="N11" s="10"/>
    </row>
    <row r="12" customFormat="false" ht="15" hidden="false" customHeight="true" outlineLevel="0" collapsed="false">
      <c r="A12" s="6"/>
      <c r="B12" s="13" t="s">
        <v>22</v>
      </c>
      <c r="C12" s="14" t="n">
        <v>2000100004</v>
      </c>
      <c r="D12" s="14" t="s">
        <v>23</v>
      </c>
      <c r="E12" s="15" t="s">
        <v>16</v>
      </c>
      <c r="F12" s="15" t="s">
        <v>17</v>
      </c>
      <c r="G12" s="14" t="n">
        <v>1449</v>
      </c>
      <c r="H12" s="14" t="n">
        <v>0</v>
      </c>
      <c r="I12" s="14" t="n">
        <v>0</v>
      </c>
      <c r="J12" s="14" t="n">
        <v>130.41</v>
      </c>
      <c r="K12" s="14" t="n">
        <v>130.41</v>
      </c>
      <c r="L12" s="14" t="n">
        <v>-289.8</v>
      </c>
      <c r="M12" s="16" t="n">
        <v>1420</v>
      </c>
      <c r="N12" s="10"/>
    </row>
    <row r="13" customFormat="false" ht="15" hidden="false" customHeight="true" outlineLevel="0" collapsed="false">
      <c r="A13" s="6"/>
      <c r="B13" s="17" t="s">
        <v>24</v>
      </c>
      <c r="C13" s="17"/>
      <c r="D13" s="17"/>
      <c r="E13" s="17"/>
      <c r="F13" s="17"/>
      <c r="G13" s="18" t="n">
        <f aca="false">SUM(G9:G12)</f>
        <v>4616</v>
      </c>
      <c r="H13" s="19" t="n">
        <f aca="false">SUM(H9:H12)</f>
        <v>0</v>
      </c>
      <c r="I13" s="19" t="n">
        <f aca="false">SUM(I9:I12)</f>
        <v>15</v>
      </c>
      <c r="J13" s="19" t="n">
        <f aca="false">SUM(J9:J12)</f>
        <v>415.44</v>
      </c>
      <c r="K13" s="19" t="n">
        <f aca="false">SUM(K9:K12)</f>
        <v>415.44</v>
      </c>
      <c r="L13" s="19" t="n">
        <f aca="false">SUM(L9:L12)</f>
        <v>-645.4</v>
      </c>
      <c r="M13" s="20" t="n">
        <f aca="false">SUM(M9:M12)</f>
        <v>4816</v>
      </c>
      <c r="N13" s="21"/>
    </row>
    <row r="14" customFormat="false" ht="15.75" hidden="false" customHeight="true" outlineLevel="0" collapsed="false"/>
    <row r="15" customFormat="false" ht="15.75" hidden="false" customHeight="true" outlineLevel="0" collapsed="false">
      <c r="C15" s="22" t="s">
        <v>25</v>
      </c>
      <c r="D15" s="22"/>
      <c r="E15" s="22"/>
      <c r="F15" s="22"/>
      <c r="G15" s="22"/>
      <c r="H15" s="22"/>
      <c r="I15" s="23" t="n">
        <f aca="false">J13+K13</f>
        <v>830.88</v>
      </c>
      <c r="J15" s="24"/>
      <c r="K15" s="21"/>
    </row>
    <row r="16" customFormat="false" ht="15" hidden="false" customHeight="true" outlineLevel="0" collapsed="false">
      <c r="M16" s="25"/>
      <c r="N16" s="26" t="s">
        <v>26</v>
      </c>
    </row>
    <row r="17" customFormat="false" ht="15" hidden="false" customHeight="true" outlineLevel="0" collapsed="false">
      <c r="M17" s="25"/>
      <c r="N17" s="26" t="s">
        <v>27</v>
      </c>
    </row>
    <row r="18" customFormat="false" ht="15" hidden="false" customHeight="true" outlineLevel="0" collapsed="false">
      <c r="M18" s="25"/>
      <c r="N18" s="25"/>
    </row>
  </sheetData>
  <mergeCells count="4">
    <mergeCell ref="C6:K6"/>
    <mergeCell ref="A8:A13"/>
    <mergeCell ref="B13:F13"/>
    <mergeCell ref="C15:H15"/>
  </mergeCells>
  <conditionalFormatting sqref="B8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O16" activeCellId="0" sqref="O1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.14"/>
    <col collapsed="false" customWidth="true" hidden="false" outlineLevel="0" max="3" min="3" style="1" width="11"/>
    <col collapsed="false" customWidth="true" hidden="false" outlineLevel="0" max="4" min="4" style="1" width="17.42"/>
    <col collapsed="false" customWidth="true" hidden="false" outlineLevel="0" max="6" min="5" style="1" width="10.14"/>
    <col collapsed="false" customWidth="true" hidden="false" outlineLevel="0" max="14" min="14" style="1" width="21.14"/>
  </cols>
  <sheetData>
    <row r="1" customFormat="false" ht="15" hidden="false" customHeight="true" outlineLevel="0" collapsed="false">
      <c r="B1" s="2"/>
      <c r="G1" s="2"/>
      <c r="H1" s="2"/>
      <c r="I1" s="2"/>
      <c r="J1" s="2"/>
      <c r="K1" s="2"/>
      <c r="L1" s="2"/>
      <c r="M1" s="2"/>
      <c r="N1" s="3"/>
    </row>
    <row r="2" customFormat="false" ht="15" hidden="false" customHeight="true" outlineLevel="0" collapsed="false">
      <c r="B2" s="2"/>
      <c r="C2" s="4"/>
      <c r="G2" s="2"/>
      <c r="H2" s="2"/>
      <c r="I2" s="2"/>
      <c r="J2" s="2"/>
      <c r="K2" s="2"/>
      <c r="L2" s="2"/>
      <c r="M2" s="2"/>
      <c r="N2" s="3"/>
    </row>
    <row r="3" customFormat="false" ht="15" hidden="false" customHeight="true" outlineLevel="0" collapsed="false">
      <c r="B3" s="2"/>
      <c r="C3" s="4"/>
      <c r="G3" s="2"/>
      <c r="H3" s="2"/>
      <c r="I3" s="2"/>
      <c r="J3" s="2"/>
      <c r="K3" s="2"/>
      <c r="L3" s="2"/>
      <c r="M3" s="2"/>
      <c r="N3" s="3"/>
    </row>
    <row r="4" customFormat="false" ht="15" hidden="false" customHeight="true" outlineLevel="0" collapsed="false">
      <c r="B4" s="2"/>
      <c r="C4" s="4"/>
      <c r="G4" s="2"/>
      <c r="H4" s="2"/>
      <c r="I4" s="2"/>
      <c r="J4" s="2"/>
      <c r="K4" s="2"/>
      <c r="L4" s="2"/>
      <c r="M4" s="2"/>
      <c r="N4" s="3"/>
    </row>
    <row r="5" customFormat="false" ht="15.75" hidden="false" customHeight="true" outlineLevel="0" collapsed="false">
      <c r="B5" s="2"/>
      <c r="C5" s="4"/>
      <c r="G5" s="2"/>
      <c r="H5" s="2"/>
      <c r="I5" s="2"/>
      <c r="J5" s="2"/>
      <c r="K5" s="2"/>
      <c r="L5" s="2"/>
      <c r="M5" s="2"/>
      <c r="N5" s="3"/>
    </row>
    <row r="6" customFormat="false" ht="15.75" hidden="false" customHeight="true" outlineLevel="0" collapsed="false">
      <c r="B6" s="5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customFormat="false" ht="15.75" hidden="false" customHeight="true" outlineLevel="0" collapsed="false">
      <c r="G7" s="2"/>
      <c r="H7" s="2"/>
      <c r="I7" s="2"/>
      <c r="J7" s="2"/>
      <c r="K7" s="2"/>
      <c r="L7" s="2"/>
      <c r="M7" s="2"/>
    </row>
    <row r="8" customFormat="false" ht="45" hidden="false" customHeight="true" outlineLevel="0" collapsed="false">
      <c r="A8" s="6" t="s">
        <v>28</v>
      </c>
      <c r="B8" s="27" t="s">
        <v>2</v>
      </c>
      <c r="C8" s="28" t="s">
        <v>3</v>
      </c>
      <c r="D8" s="28" t="s">
        <v>4</v>
      </c>
      <c r="E8" s="28" t="s">
        <v>5</v>
      </c>
      <c r="F8" s="28" t="s">
        <v>6</v>
      </c>
      <c r="G8" s="28" t="s">
        <v>7</v>
      </c>
      <c r="H8" s="28" t="s">
        <v>8</v>
      </c>
      <c r="I8" s="28" t="s">
        <v>9</v>
      </c>
      <c r="J8" s="28" t="s">
        <v>10</v>
      </c>
      <c r="K8" s="28" t="s">
        <v>11</v>
      </c>
      <c r="L8" s="28" t="s">
        <v>12</v>
      </c>
      <c r="M8" s="28" t="s">
        <v>13</v>
      </c>
      <c r="N8" s="28" t="s">
        <v>29</v>
      </c>
    </row>
    <row r="9" customFormat="false" ht="15" hidden="false" customHeight="true" outlineLevel="0" collapsed="false">
      <c r="A9" s="6"/>
      <c r="B9" s="29" t="s">
        <v>30</v>
      </c>
      <c r="C9" s="30" t="n">
        <v>2001100001</v>
      </c>
      <c r="D9" s="31" t="s">
        <v>31</v>
      </c>
      <c r="E9" s="32" t="s">
        <v>16</v>
      </c>
      <c r="F9" s="32" t="s">
        <v>17</v>
      </c>
      <c r="G9" s="31" t="n">
        <v>999</v>
      </c>
      <c r="H9" s="31" t="n">
        <v>0</v>
      </c>
      <c r="I9" s="31" t="n">
        <v>0</v>
      </c>
      <c r="J9" s="31" t="n">
        <v>89.91</v>
      </c>
      <c r="K9" s="31" t="n">
        <v>89.91</v>
      </c>
      <c r="L9" s="31" t="n">
        <v>-199.8</v>
      </c>
      <c r="M9" s="12" t="n">
        <v>979</v>
      </c>
      <c r="N9" s="31"/>
    </row>
    <row r="10" customFormat="false" ht="15" hidden="false" customHeight="true" outlineLevel="0" collapsed="false">
      <c r="A10" s="6"/>
      <c r="B10" s="29" t="s">
        <v>32</v>
      </c>
      <c r="C10" s="30" t="n">
        <v>2001100002</v>
      </c>
      <c r="D10" s="30" t="s">
        <v>33</v>
      </c>
      <c r="E10" s="32" t="s">
        <v>16</v>
      </c>
      <c r="F10" s="32" t="s">
        <v>17</v>
      </c>
      <c r="G10" s="30" t="n">
        <v>799</v>
      </c>
      <c r="H10" s="30" t="n">
        <v>0</v>
      </c>
      <c r="I10" s="30" t="n">
        <v>0</v>
      </c>
      <c r="J10" s="30" t="n">
        <v>71.91</v>
      </c>
      <c r="K10" s="30" t="n">
        <v>71.91</v>
      </c>
      <c r="L10" s="30" t="n">
        <v>-159.8</v>
      </c>
      <c r="M10" s="12" t="n">
        <v>783</v>
      </c>
      <c r="N10" s="30"/>
    </row>
    <row r="11" customFormat="false" ht="15" hidden="false" customHeight="true" outlineLevel="0" collapsed="false">
      <c r="A11" s="6"/>
      <c r="B11" s="29" t="s">
        <v>34</v>
      </c>
      <c r="C11" s="30" t="n">
        <v>2001100003</v>
      </c>
      <c r="D11" s="30" t="s">
        <v>35</v>
      </c>
      <c r="E11" s="32" t="s">
        <v>16</v>
      </c>
      <c r="F11" s="32" t="s">
        <v>17</v>
      </c>
      <c r="G11" s="30" t="n">
        <v>799</v>
      </c>
      <c r="H11" s="30" t="n">
        <v>0</v>
      </c>
      <c r="I11" s="30" t="n">
        <v>0</v>
      </c>
      <c r="J11" s="30" t="n">
        <v>71.91</v>
      </c>
      <c r="K11" s="30" t="n">
        <v>71.91</v>
      </c>
      <c r="L11" s="30" t="n">
        <v>-159.8</v>
      </c>
      <c r="M11" s="12" t="n">
        <v>783</v>
      </c>
      <c r="N11" s="31"/>
    </row>
    <row r="12" customFormat="false" ht="15" hidden="false" customHeight="true" outlineLevel="0" collapsed="false">
      <c r="A12" s="6"/>
      <c r="B12" s="29" t="s">
        <v>36</v>
      </c>
      <c r="C12" s="30" t="n">
        <v>2001100004</v>
      </c>
      <c r="D12" s="30" t="s">
        <v>37</v>
      </c>
      <c r="E12" s="32" t="s">
        <v>16</v>
      </c>
      <c r="F12" s="32" t="s">
        <v>17</v>
      </c>
      <c r="G12" s="30" t="n">
        <v>599</v>
      </c>
      <c r="H12" s="30" t="n">
        <v>0</v>
      </c>
      <c r="I12" s="30" t="n">
        <v>0</v>
      </c>
      <c r="J12" s="30" t="n">
        <v>53.91</v>
      </c>
      <c r="K12" s="30" t="n">
        <v>53.91</v>
      </c>
      <c r="L12" s="30" t="n">
        <v>-119.8</v>
      </c>
      <c r="M12" s="12" t="n">
        <v>587</v>
      </c>
      <c r="N12" s="30"/>
    </row>
    <row r="13" customFormat="false" ht="15" hidden="false" customHeight="true" outlineLevel="0" collapsed="false">
      <c r="A13" s="6"/>
      <c r="B13" s="29" t="s">
        <v>38</v>
      </c>
      <c r="C13" s="30" t="n">
        <v>2001100005</v>
      </c>
      <c r="D13" s="30" t="s">
        <v>39</v>
      </c>
      <c r="E13" s="32" t="s">
        <v>16</v>
      </c>
      <c r="F13" s="32" t="s">
        <v>17</v>
      </c>
      <c r="G13" s="30" t="n">
        <v>799</v>
      </c>
      <c r="H13" s="30" t="n">
        <v>0</v>
      </c>
      <c r="I13" s="30" t="n">
        <v>0</v>
      </c>
      <c r="J13" s="30" t="n">
        <v>71.91</v>
      </c>
      <c r="K13" s="30" t="n">
        <v>71.91</v>
      </c>
      <c r="L13" s="30" t="n">
        <v>-159.8</v>
      </c>
      <c r="M13" s="12" t="n">
        <v>783</v>
      </c>
      <c r="N13" s="30"/>
    </row>
    <row r="14" customFormat="false" ht="15" hidden="false" customHeight="true" outlineLevel="0" collapsed="false">
      <c r="A14" s="6"/>
      <c r="B14" s="29" t="s">
        <v>40</v>
      </c>
      <c r="C14" s="30" t="n">
        <v>2001100006</v>
      </c>
      <c r="D14" s="30" t="s">
        <v>41</v>
      </c>
      <c r="E14" s="32" t="s">
        <v>16</v>
      </c>
      <c r="F14" s="32" t="s">
        <v>17</v>
      </c>
      <c r="G14" s="30" t="n">
        <v>799</v>
      </c>
      <c r="H14" s="30" t="n">
        <v>0</v>
      </c>
      <c r="I14" s="30" t="n">
        <v>0</v>
      </c>
      <c r="J14" s="30" t="n">
        <v>71.91</v>
      </c>
      <c r="K14" s="30" t="n">
        <v>71.91</v>
      </c>
      <c r="L14" s="30" t="n">
        <v>-159.8</v>
      </c>
      <c r="M14" s="12" t="n">
        <v>783</v>
      </c>
      <c r="N14" s="12"/>
    </row>
    <row r="15" customFormat="false" ht="15" hidden="false" customHeight="true" outlineLevel="0" collapsed="false">
      <c r="A15" s="6"/>
      <c r="B15" s="29" t="s">
        <v>42</v>
      </c>
      <c r="C15" s="30" t="n">
        <v>2001100007</v>
      </c>
      <c r="D15" s="30" t="s">
        <v>43</v>
      </c>
      <c r="E15" s="32" t="s">
        <v>16</v>
      </c>
      <c r="F15" s="32" t="s">
        <v>17</v>
      </c>
      <c r="G15" s="30" t="n">
        <v>799</v>
      </c>
      <c r="H15" s="30" t="n">
        <v>0</v>
      </c>
      <c r="I15" s="30" t="n">
        <v>0</v>
      </c>
      <c r="J15" s="30" t="n">
        <v>71.91</v>
      </c>
      <c r="K15" s="30" t="n">
        <v>71.91</v>
      </c>
      <c r="L15" s="30" t="n">
        <v>-159.8</v>
      </c>
      <c r="M15" s="12" t="n">
        <v>783</v>
      </c>
      <c r="N15" s="30"/>
    </row>
    <row r="16" customFormat="false" ht="15" hidden="false" customHeight="true" outlineLevel="0" collapsed="false">
      <c r="A16" s="6"/>
      <c r="B16" s="29" t="s">
        <v>44</v>
      </c>
      <c r="C16" s="30" t="n">
        <v>2001100008</v>
      </c>
      <c r="D16" s="30" t="s">
        <v>45</v>
      </c>
      <c r="E16" s="32" t="s">
        <v>16</v>
      </c>
      <c r="F16" s="32" t="s">
        <v>17</v>
      </c>
      <c r="G16" s="30" t="n">
        <v>799</v>
      </c>
      <c r="H16" s="30" t="n">
        <v>199</v>
      </c>
      <c r="I16" s="30" t="n">
        <v>0</v>
      </c>
      <c r="J16" s="30" t="n">
        <v>89.82</v>
      </c>
      <c r="K16" s="30" t="n">
        <v>89.82</v>
      </c>
      <c r="L16" s="30" t="n">
        <v>-199.6</v>
      </c>
      <c r="M16" s="12" t="n">
        <v>978</v>
      </c>
      <c r="N16" s="30"/>
    </row>
    <row r="17" customFormat="false" ht="15" hidden="false" customHeight="true" outlineLevel="0" collapsed="false">
      <c r="A17" s="6"/>
      <c r="B17" s="33" t="s">
        <v>46</v>
      </c>
      <c r="C17" s="34" t="n">
        <v>2001100009</v>
      </c>
      <c r="D17" s="34" t="s">
        <v>47</v>
      </c>
      <c r="E17" s="35" t="s">
        <v>16</v>
      </c>
      <c r="F17" s="35" t="s">
        <v>17</v>
      </c>
      <c r="G17" s="30" t="n">
        <v>599</v>
      </c>
      <c r="H17" s="30" t="n">
        <v>0</v>
      </c>
      <c r="I17" s="30" t="n">
        <v>0</v>
      </c>
      <c r="J17" s="30" t="n">
        <v>53.91</v>
      </c>
      <c r="K17" s="30" t="n">
        <v>53.91</v>
      </c>
      <c r="L17" s="30" t="n">
        <v>-119.8</v>
      </c>
      <c r="M17" s="36" t="n">
        <v>587</v>
      </c>
      <c r="N17" s="30"/>
    </row>
    <row r="18" customFormat="false" ht="15" hidden="false" customHeight="true" outlineLevel="0" collapsed="false">
      <c r="A18" s="6"/>
      <c r="B18" s="37" t="s">
        <v>48</v>
      </c>
      <c r="C18" s="38" t="n">
        <v>2001100010</v>
      </c>
      <c r="D18" s="39" t="s">
        <v>49</v>
      </c>
      <c r="E18" s="40" t="s">
        <v>16</v>
      </c>
      <c r="F18" s="40" t="s">
        <v>17</v>
      </c>
      <c r="G18" s="41" t="n">
        <v>749</v>
      </c>
      <c r="H18" s="41" t="n">
        <v>0</v>
      </c>
      <c r="I18" s="41" t="n">
        <v>0</v>
      </c>
      <c r="J18" s="41" t="n">
        <v>67.41</v>
      </c>
      <c r="K18" s="41" t="n">
        <v>67.41</v>
      </c>
      <c r="L18" s="41" t="n">
        <v>-149.8</v>
      </c>
      <c r="M18" s="39" t="n">
        <v>734</v>
      </c>
      <c r="N18" s="30"/>
    </row>
    <row r="19" customFormat="false" ht="16.5" hidden="false" customHeight="true" outlineLevel="0" collapsed="false">
      <c r="A19" s="6"/>
      <c r="B19" s="17" t="s">
        <v>50</v>
      </c>
      <c r="C19" s="17"/>
      <c r="D19" s="17"/>
      <c r="E19" s="17"/>
      <c r="F19" s="17"/>
      <c r="G19" s="42" t="n">
        <f aca="false">SUM(G9:G18)</f>
        <v>7740</v>
      </c>
      <c r="H19" s="43" t="n">
        <f aca="false">SUM(H9:H18)</f>
        <v>199</v>
      </c>
      <c r="I19" s="43" t="n">
        <f aca="false">SUM(I9:I18)</f>
        <v>0</v>
      </c>
      <c r="J19" s="43" t="n">
        <f aca="false">SUM(J9:J18)</f>
        <v>714.51</v>
      </c>
      <c r="K19" s="43" t="n">
        <f aca="false">SUM(K9:K18)</f>
        <v>714.51</v>
      </c>
      <c r="L19" s="43" t="n">
        <f aca="false">SUM(L9:L18)</f>
        <v>-1587.8</v>
      </c>
      <c r="M19" s="20" t="n">
        <f aca="false">SUM(M9:M18)</f>
        <v>7780</v>
      </c>
      <c r="N19" s="44"/>
    </row>
    <row r="20" customFormat="false" ht="15.75" hidden="false" customHeight="true" outlineLevel="0" collapsed="false"/>
    <row r="21" customFormat="false" ht="15.75" hidden="false" customHeight="true" outlineLevel="0" collapsed="false">
      <c r="C21" s="45" t="s">
        <v>50</v>
      </c>
      <c r="D21" s="45"/>
      <c r="E21" s="45"/>
      <c r="F21" s="45"/>
      <c r="G21" s="45"/>
      <c r="H21" s="45"/>
      <c r="I21" s="45"/>
      <c r="J21" s="45"/>
      <c r="K21" s="21" t="n">
        <f aca="false">J19+K19</f>
        <v>1429.02</v>
      </c>
    </row>
    <row r="22" customFormat="false" ht="15" hidden="false" customHeight="true" outlineLevel="0" collapsed="false">
      <c r="M22" s="25"/>
      <c r="N22" s="26" t="s">
        <v>26</v>
      </c>
    </row>
    <row r="23" customFormat="false" ht="15" hidden="false" customHeight="true" outlineLevel="0" collapsed="false">
      <c r="M23" s="25"/>
      <c r="N23" s="26" t="s">
        <v>27</v>
      </c>
    </row>
  </sheetData>
  <mergeCells count="4">
    <mergeCell ref="B6:N6"/>
    <mergeCell ref="A8:A19"/>
    <mergeCell ref="B19:F19"/>
    <mergeCell ref="C21:J21"/>
  </mergeCells>
  <conditionalFormatting sqref="C18">
    <cfRule type="duplicateValues" priority="2" aboveAverage="0" equalAverage="0" bottom="0" percent="0" rank="0" text="" dxfId="0"/>
    <cfRule type="duplicateValues" priority="3" aboveAverage="0" equalAverage="0" bottom="0" percent="0" rank="0" text="" dxfId="0"/>
    <cfRule type="duplicateValues" priority="4" aboveAverage="0" equalAverage="0" bottom="0" percent="0" rank="0" text="" dxfId="0"/>
    <cfRule type="duplicateValues" priority="5" aboveAverage="0" equalAverage="0" bottom="0" percent="0" rank="0" text="" dxfId="0"/>
    <cfRule type="duplicateValues" priority="6" aboveAverage="0" equalAverage="0" bottom="0" percent="0" rank="0" text="" dxfId="0"/>
    <cfRule type="duplicateValues" priority="7" aboveAverage="0" equalAverage="0" bottom="0" percent="0" rank="0" text="" dxfId="0"/>
    <cfRule type="duplicateValues" priority="8" aboveAverage="0" equalAverage="0" bottom="0" percent="0" rank="0" text="" dxfId="0"/>
    <cfRule type="duplicateValues" priority="9" aboveAverage="0" equalAverage="0" bottom="0" percent="0" rank="0" text="" dxfId="0"/>
    <cfRule type="expression" priority="10" aboveAverage="0" equalAverage="0" bottom="0" percent="0" rank="0" text="" dxfId="1">
      <formula>AND(COUNTIF($C$10:$C$10, C18)+COUNTIF($C$12:$C$14, C18)&gt;1,NOT(ISBLANK(C18)))</formula>
    </cfRule>
    <cfRule type="expression" priority="11" aboveAverage="0" equalAverage="0" bottom="0" percent="0" rank="0" text="" dxfId="1">
      <formula>AND(COUNTIF($C$12:$C$14, C18)+COUNTIF($C$10:$C$10, C18)&gt;1,NOT(ISBLANK(C18)))</formula>
    </cfRule>
  </conditionalFormatting>
  <conditionalFormatting sqref="B8">
    <cfRule type="duplicateValues" priority="1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2026-06-17T04:31:30Z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